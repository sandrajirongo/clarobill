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under Common" sheetId="2" state="visible" r:id="rId2"/>
    <sheet name="SAFE Schedule" sheetId="3" state="visible" r:id="rId3"/>
    <sheet name="Pro Forma Conversion" sheetId="4" state="visible" r:id="rId4"/>
    <sheet name="Assumptions" sheetId="5" state="visible" r:id="rId5"/>
  </sheets>
  <definedNames>
    <definedName name="AuthShares">Assumptions!$B$2</definedName>
    <definedName name="FounderGrant">Assumptions!$B$3</definedName>
    <definedName name="OptionPool">Assumptions!$B$4</definedName>
    <definedName name="RaiseTotal">Assumptions!$B$5</definedName>
    <definedName name="SafeCap">Assumptions!$B$6</definedName>
    <definedName name="SafeDiscount">Assumptions!$B$7</definedName>
    <definedName name="SeedRoundSize">Assumptions!$B$8</definedName>
    <definedName name="SeedPreMoney">Assumptions!$B$9</definedName>
    <definedName name="SeedPoolRefresh">Assumptions!$B$10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0.0000"/>
  </numFmts>
  <fonts count="8">
    <font>
      <name val="Calibri"/>
      <family val="2"/>
      <color theme="1"/>
      <sz val="11"/>
      <scheme val="minor"/>
    </font>
    <font>
      <name val="Calibri"/>
      <b val="1"/>
      <color rgb="002D4A2A"/>
      <sz val="18"/>
    </font>
    <font>
      <name val="Calibri"/>
      <i val="1"/>
      <color rgb="006E6E6E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D4A2A"/>
      <sz val="10"/>
    </font>
    <font>
      <name val="Calibri"/>
      <b val="1"/>
      <color rgb="002D4A2A"/>
      <sz val="11"/>
    </font>
    <font>
      <name val="Calibri"/>
      <b val="1"/>
      <color rgb="002D4A2A"/>
      <sz val="14"/>
    </font>
  </fonts>
  <fills count="5">
    <fill>
      <patternFill/>
    </fill>
    <fill>
      <patternFill patternType="gray125"/>
    </fill>
    <fill>
      <patternFill patternType="solid">
        <fgColor rgb="002D4A2A"/>
      </patternFill>
    </fill>
    <fill>
      <patternFill patternType="solid">
        <fgColor rgb="00EAE8E0"/>
      </patternFill>
    </fill>
    <fill>
      <patternFill patternType="solid">
        <fgColor rgb="00C8F060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1" pivotButton="0" quotePrefix="0" xfId="0"/>
    <xf numFmtId="0" fontId="5" fillId="3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6" fillId="4" borderId="0" pivotButton="0" quotePrefix="0" xfId="0"/>
    <xf numFmtId="164" fontId="6" fillId="4" borderId="0" pivotButton="0" quotePrefix="0" xfId="0"/>
    <xf numFmtId="0" fontId="0" fillId="4" borderId="0" pivotButton="0" quotePrefix="0" xfId="0"/>
    <xf numFmtId="166" fontId="0" fillId="0" borderId="1" pivotButton="0" quotePrefix="0" xfId="0"/>
    <xf numFmtId="3" fontId="6" fillId="4" borderId="0" pivotButton="0" quotePrefix="0" xfId="0"/>
    <xf numFmtId="0" fontId="6" fillId="4" borderId="1" pivotButton="0" quotePrefix="0" xfId="0"/>
    <xf numFmtId="3" fontId="6" fillId="4" borderId="1" pivotButton="0" quotePrefix="0" xfId="0"/>
    <xf numFmtId="165" fontId="6" fillId="4" borderId="1" pivotButton="0" quotePrefix="0" xfId="0"/>
    <xf numFmtId="164" fontId="6" fillId="4" borderId="1" pivotButton="0" quotePrefix="0" xfId="0"/>
    <xf numFmtId="3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ClaroBill cap table</t>
        </is>
      </c>
    </row>
    <row r="2">
      <c r="A2" s="2" t="inlineStr">
        <is>
          <t>Pre-seed snapshot, prepared 2026-05-07. Founder: Sandra Jirongo.</t>
        </is>
      </c>
    </row>
    <row r="4">
      <c r="A4" s="3" t="inlineStr">
        <is>
          <t>Stage</t>
        </is>
      </c>
      <c r="B4" s="3" t="inlineStr">
        <is>
          <t>Shares (founder + pool)</t>
        </is>
      </c>
      <c r="C4" s="3" t="inlineStr">
        <is>
          <t>SAFEs raised ($)</t>
        </is>
      </c>
      <c r="D4" s="3" t="inlineStr">
        <is>
          <t>Founder ownership</t>
        </is>
      </c>
      <c r="E4" s="3" t="inlineStr">
        <is>
          <t>Notes</t>
        </is>
      </c>
    </row>
    <row r="5">
      <c r="A5" s="4" t="inlineStr">
        <is>
          <t>At formation</t>
        </is>
      </c>
      <c r="B5" s="5">
        <f>AuthShares</f>
        <v/>
      </c>
      <c r="C5" s="6" t="n">
        <v>0</v>
      </c>
      <c r="D5" s="7">
        <f>FounderGrant/AuthShares</f>
        <v/>
      </c>
      <c r="E5" s="8" t="inlineStr">
        <is>
          <t>Sandra: 8M common, 2M reserved option pool, 0 SAFEs.</t>
        </is>
      </c>
    </row>
    <row r="6">
      <c r="A6" s="4" t="inlineStr">
        <is>
          <t>Post pre-seed (SAFEs outstanding)</t>
        </is>
      </c>
      <c r="B6" s="5">
        <f>AuthShares</f>
        <v/>
      </c>
      <c r="C6" s="6">
        <f>RaiseTotal</f>
        <v/>
      </c>
      <c r="D6" s="7">
        <f>FounderGrant/AuthShares</f>
        <v/>
      </c>
      <c r="E6" s="8" t="inlineStr">
        <is>
          <t>$1.25M of SAFEs do not affect cap table until conversion.</t>
        </is>
      </c>
    </row>
    <row r="7">
      <c r="A7" s="4" t="inlineStr">
        <is>
          <t>Post seed (SAFEs converted, pool refreshed)</t>
        </is>
      </c>
      <c r="B7" s="5">
        <f>'Pro Forma Conversion'!B19</f>
        <v/>
      </c>
      <c r="C7" s="6" t="n">
        <v>0</v>
      </c>
      <c r="D7" s="7">
        <f>'Pro Forma Conversion'!D11</f>
        <v/>
      </c>
      <c r="E7" s="8" t="inlineStr">
        <is>
          <t>Assumes $4M seed at $20M pre, 10% pre-money pool refresh.</t>
        </is>
      </c>
    </row>
    <row r="9">
      <c r="A9" s="9" t="inlineStr">
        <is>
          <t>Headline numbers</t>
        </is>
      </c>
    </row>
    <row r="10">
      <c r="A10" s="10" t="inlineStr">
        <is>
          <t>Pre-money valuation (SAFE cap minus raise)</t>
        </is>
      </c>
      <c r="B10" s="11">
        <f>SafeCap-RaiseTotal</f>
        <v/>
      </c>
    </row>
    <row r="11">
      <c r="A11" s="10" t="inlineStr">
        <is>
          <t>Post-money valuation (SAFE cap)</t>
        </is>
      </c>
      <c r="B11" s="11">
        <f>SafeCap</f>
        <v/>
      </c>
    </row>
    <row r="12">
      <c r="A12" s="10" t="inlineStr">
        <is>
          <t>Total raise target</t>
        </is>
      </c>
      <c r="B12" s="11">
        <f>RaiseTotal</f>
        <v/>
      </c>
    </row>
    <row r="13">
      <c r="A13" s="10" t="inlineStr">
        <is>
          <t>SAFE discount</t>
        </is>
      </c>
      <c r="B13" s="12">
        <f>SafeDiscount</f>
        <v/>
      </c>
    </row>
    <row r="14">
      <c r="A14" s="10" t="inlineStr">
        <is>
          <t>Founder dilution from this round (approx.)</t>
        </is>
      </c>
      <c r="B14" s="12">
        <f>RaiseTotal/SafeCap</f>
        <v/>
      </c>
    </row>
    <row r="15">
      <c r="A15" s="10" t="inlineStr">
        <is>
          <t>Founder dilution at seed round (approx.)</t>
        </is>
      </c>
      <c r="B15" s="12">
        <f>1-'Pro Forma Conversion'!D11</f>
        <v/>
      </c>
    </row>
    <row r="18">
      <c r="A18" s="9" t="inlineStr">
        <is>
          <t>Tabs in this workbook</t>
        </is>
      </c>
    </row>
    <row r="19">
      <c r="A19" s="13" t="inlineStr">
        <is>
          <t>Founder Common</t>
        </is>
      </c>
      <c r="B19" s="14" t="inlineStr">
        <is>
          <t>Sandra's 8M-share grant and the vesting schedule.</t>
        </is>
      </c>
    </row>
    <row r="20">
      <c r="A20" s="13" t="inlineStr">
        <is>
          <t>SAFE Schedule</t>
        </is>
      </c>
      <c r="B20" s="14" t="inlineStr">
        <is>
          <t>Per-investor SAFE checks summing to the raise target.</t>
        </is>
      </c>
    </row>
    <row r="21">
      <c r="A21" s="13" t="inlineStr">
        <is>
          <t>Pro Forma Conversion</t>
        </is>
      </c>
      <c r="B21" s="14" t="inlineStr">
        <is>
          <t>What the SAFEs convert into at a $4M seed at $20M pre.</t>
        </is>
      </c>
    </row>
    <row r="22">
      <c r="A22" s="13" t="inlineStr">
        <is>
          <t>Assumptions</t>
        </is>
      </c>
      <c r="B22" s="14" t="inlineStr">
        <is>
          <t>All inputs that drive every formula. Edit here, watch the rest update.</t>
        </is>
      </c>
    </row>
  </sheetData>
  <mergeCells count="4">
    <mergeCell ref="B21:E21"/>
    <mergeCell ref="B22:E22"/>
    <mergeCell ref="B19:E19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50" customWidth="1" min="4" max="4"/>
  </cols>
  <sheetData>
    <row r="1">
      <c r="A1" s="15" t="inlineStr">
        <is>
          <t>Founder common stock grant</t>
        </is>
      </c>
    </row>
    <row r="3">
      <c r="A3" s="3" t="inlineStr">
        <is>
          <t>Holder</t>
        </is>
      </c>
      <c r="B3" s="3" t="inlineStr">
        <is>
          <t>Shares</t>
        </is>
      </c>
      <c r="C3" s="3" t="inlineStr">
        <is>
          <t>% of outstanding</t>
        </is>
      </c>
      <c r="D3" s="3" t="inlineStr">
        <is>
          <t>Terms</t>
        </is>
      </c>
    </row>
    <row r="4">
      <c r="A4" s="16" t="inlineStr">
        <is>
          <t>Sandra Jirongo</t>
        </is>
      </c>
      <c r="B4" s="5">
        <f>FounderGrant</f>
        <v/>
      </c>
      <c r="C4" s="7">
        <f>FounderGrant/AuthShares</f>
        <v/>
      </c>
      <c r="D4" s="8" t="inlineStr">
        <is>
          <t>4-year vest, 1-year cliff, monthly thereafter. Common stock, par value $0.0001. 83(b) election filed at grant.</t>
        </is>
      </c>
    </row>
    <row r="5">
      <c r="A5" s="16" t="inlineStr">
        <is>
          <t>Option pool (reserved, unissued)</t>
        </is>
      </c>
      <c r="B5" s="5">
        <f>OptionPool</f>
        <v/>
      </c>
      <c r="C5" s="7">
        <f>OptionPool/AuthShares</f>
        <v/>
      </c>
      <c r="D5" s="8" t="inlineStr">
        <is>
          <t>Reserved for first two hires plus a buffer for advisors.</t>
        </is>
      </c>
    </row>
    <row r="6">
      <c r="A6" s="16" t="inlineStr">
        <is>
          <t>Total outstanding + reserved</t>
        </is>
      </c>
      <c r="B6" s="5">
        <f>B4+B5</f>
        <v/>
      </c>
      <c r="C6" s="7">
        <f>B6/AuthShares</f>
        <v/>
      </c>
      <c r="D6" s="8" t="inlineStr">
        <is>
          <t>Equals authorized shares at formation.</t>
        </is>
      </c>
    </row>
    <row r="8">
      <c r="A8" s="9" t="inlineStr">
        <is>
          <t>Vesting schedule (illustrative, by month)</t>
        </is>
      </c>
    </row>
    <row r="9">
      <c r="A9" s="17" t="inlineStr">
        <is>
          <t>Month</t>
        </is>
      </c>
      <c r="B9" s="17" t="inlineStr">
        <is>
          <t>Vested shares</t>
        </is>
      </c>
      <c r="C9" s="17" t="inlineStr">
        <is>
          <t>% of grant</t>
        </is>
      </c>
      <c r="D9" s="17" t="inlineStr">
        <is>
          <t>Milestone</t>
        </is>
      </c>
    </row>
    <row r="10">
      <c r="A10" s="18" t="n">
        <v>0</v>
      </c>
      <c r="B10" s="5">
        <f>0</f>
        <v/>
      </c>
      <c r="C10" s="7">
        <f>B10/FounderGrant</f>
        <v/>
      </c>
      <c r="D10" s="8" t="inlineStr">
        <is>
          <t>Grant date. Cliff in effect.</t>
        </is>
      </c>
    </row>
    <row r="11">
      <c r="A11" s="18" t="n">
        <v>12</v>
      </c>
      <c r="B11" s="5">
        <f>FounderGrant*0.25</f>
        <v/>
      </c>
      <c r="C11" s="7">
        <f>B11/FounderGrant</f>
        <v/>
      </c>
      <c r="D11" s="8" t="inlineStr">
        <is>
          <t>Cliff hits. 25% of grant vests at once.</t>
        </is>
      </c>
    </row>
    <row r="12">
      <c r="A12" s="18" t="n">
        <v>24</v>
      </c>
      <c r="B12" s="5">
        <f>FounderGrant*0.50</f>
        <v/>
      </c>
      <c r="C12" s="7">
        <f>B12/FounderGrant</f>
        <v/>
      </c>
      <c r="D12" s="8" t="inlineStr">
        <is>
          <t>Halfway point.</t>
        </is>
      </c>
    </row>
    <row r="13">
      <c r="A13" s="18" t="n">
        <v>36</v>
      </c>
      <c r="B13" s="5">
        <f>FounderGrant*0.75</f>
        <v/>
      </c>
      <c r="C13" s="7">
        <f>B13/FounderGrant</f>
        <v/>
      </c>
      <c r="D13" s="8" t="inlineStr">
        <is>
          <t>Three-year mark.</t>
        </is>
      </c>
    </row>
    <row r="14">
      <c r="A14" s="18" t="n">
        <v>48</v>
      </c>
      <c r="B14" s="5">
        <f>FounderGrant*1.00</f>
        <v/>
      </c>
      <c r="C14" s="7">
        <f>B14/FounderGrant</f>
        <v/>
      </c>
      <c r="D14" s="8" t="inlineStr">
        <is>
          <t>Fully vested.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2" customWidth="1" min="5" max="5"/>
    <col width="32" customWidth="1" min="6" max="6"/>
  </cols>
  <sheetData>
    <row r="1">
      <c r="A1" s="15" t="inlineStr">
        <is>
          <t>SAFE Schedule (target $1.25M)</t>
        </is>
      </c>
    </row>
    <row r="2">
      <c r="A2" s="2" t="inlineStr">
        <is>
          <t>Standard YC post-money SAFE form. All notes share the same cap, discount, and MFN. Replace placeholder names as commitments come in.</t>
        </is>
      </c>
    </row>
    <row r="4">
      <c r="A4" s="3" t="inlineStr">
        <is>
          <t>Investor</t>
        </is>
      </c>
      <c r="B4" s="3" t="inlineStr">
        <is>
          <t>Check size ($)</t>
        </is>
      </c>
      <c r="C4" s="3" t="inlineStr">
        <is>
          <t>Cap ($)</t>
        </is>
      </c>
      <c r="D4" s="3" t="inlineStr">
        <is>
          <t>Discount</t>
        </is>
      </c>
      <c r="E4" s="3" t="inlineStr">
        <is>
          <t>MFN</t>
        </is>
      </c>
      <c r="F4" s="3" t="inlineStr">
        <is>
          <t>Status / notes</t>
        </is>
      </c>
    </row>
    <row r="5">
      <c r="A5" s="4" t="inlineStr">
        <is>
          <t>Lead investor (TBD)</t>
        </is>
      </c>
      <c r="B5" s="6" t="n">
        <v>750000</v>
      </c>
      <c r="C5" s="6">
        <f>SafeCap</f>
        <v/>
      </c>
      <c r="D5" s="7">
        <f>SafeDiscount</f>
        <v/>
      </c>
      <c r="E5" s="19" t="inlineStr">
        <is>
          <t>Yes</t>
        </is>
      </c>
      <c r="F5" s="8" t="inlineStr">
        <is>
          <t>Target lead at $11.25M post cap. Anchors the round.</t>
        </is>
      </c>
    </row>
    <row r="6">
      <c r="A6" s="4" t="inlineStr">
        <is>
          <t>a16z Speedrun (if accepted)</t>
        </is>
      </c>
      <c r="B6" s="6" t="n">
        <v>1000000</v>
      </c>
      <c r="C6" s="6" t="n">
        <v>13300000</v>
      </c>
      <c r="D6" s="7" t="n">
        <v>0</v>
      </c>
      <c r="E6" s="19" t="inlineStr">
        <is>
          <t>No</t>
        </is>
      </c>
      <c r="F6" s="8" t="inlineStr">
        <is>
          <t>Standard $1M for ~7%. Sets a higher cap if accepted.</t>
        </is>
      </c>
    </row>
    <row r="7">
      <c r="A7" s="4" t="inlineStr">
        <is>
          <t>YC S26 (if accepted)</t>
        </is>
      </c>
      <c r="B7" s="6" t="n">
        <v>500000</v>
      </c>
      <c r="C7" s="6" t="inlineStr">
        <is>
          <t>Uncapped MFN</t>
        </is>
      </c>
      <c r="D7" s="7" t="n">
        <v>0</v>
      </c>
      <c r="E7" s="19" t="inlineStr">
        <is>
          <t>Yes</t>
        </is>
      </c>
      <c r="F7" s="8" t="inlineStr">
        <is>
          <t>Standard YC $500K MFN + $125K for 7% post.</t>
        </is>
      </c>
    </row>
    <row r="8">
      <c r="A8" s="4" t="inlineStr">
        <is>
          <t>Founders Inc (Hubert)</t>
        </is>
      </c>
      <c r="B8" s="6" t="n">
        <v>150000</v>
      </c>
      <c r="C8" s="6">
        <f>SafeCap</f>
        <v/>
      </c>
      <c r="D8" s="7">
        <f>SafeDiscount</f>
        <v/>
      </c>
      <c r="E8" s="19" t="inlineStr">
        <is>
          <t>Yes</t>
        </is>
      </c>
      <c r="F8" s="8" t="inlineStr">
        <is>
          <t>In conversation. Anchor angel + advisory.</t>
        </is>
      </c>
    </row>
    <row r="9">
      <c r="A9" s="4" t="inlineStr">
        <is>
          <t>Angel 1</t>
        </is>
      </c>
      <c r="B9" s="6" t="n">
        <v>50000</v>
      </c>
      <c r="C9" s="6">
        <f>SafeCap</f>
        <v/>
      </c>
      <c r="D9" s="7">
        <f>SafeDiscount</f>
        <v/>
      </c>
      <c r="E9" s="19" t="inlineStr">
        <is>
          <t>Yes</t>
        </is>
      </c>
      <c r="F9" s="8" t="inlineStr">
        <is>
          <t>Healthcare ops operator.</t>
        </is>
      </c>
    </row>
    <row r="10">
      <c r="A10" s="4" t="inlineStr">
        <is>
          <t>Angel 2</t>
        </is>
      </c>
      <c r="B10" s="6" t="n">
        <v>50000</v>
      </c>
      <c r="C10" s="6">
        <f>SafeCap</f>
        <v/>
      </c>
      <c r="D10" s="7">
        <f>SafeDiscount</f>
        <v/>
      </c>
      <c r="E10" s="19" t="inlineStr">
        <is>
          <t>Yes</t>
        </is>
      </c>
      <c r="F10" s="8" t="inlineStr">
        <is>
          <t>Fintech founder, consumer pricing exposure.</t>
        </is>
      </c>
    </row>
    <row r="11">
      <c r="A11" s="4" t="inlineStr">
        <is>
          <t>Angel 3</t>
        </is>
      </c>
      <c r="B11" s="6" t="n">
        <v>50000</v>
      </c>
      <c r="C11" s="6">
        <f>SafeCap</f>
        <v/>
      </c>
      <c r="D11" s="7">
        <f>SafeDiscount</f>
        <v/>
      </c>
      <c r="E11" s="19" t="inlineStr">
        <is>
          <t>Yes</t>
        </is>
      </c>
      <c r="F11" s="8" t="inlineStr">
        <is>
          <t>Minerva alumni network.</t>
        </is>
      </c>
    </row>
    <row r="12">
      <c r="A12" s="4" t="inlineStr">
        <is>
          <t>Angel 4</t>
        </is>
      </c>
      <c r="B12" s="6" t="n">
        <v>50000</v>
      </c>
      <c r="C12" s="6">
        <f>SafeCap</f>
        <v/>
      </c>
      <c r="D12" s="7">
        <f>SafeDiscount</f>
        <v/>
      </c>
      <c r="E12" s="19" t="inlineStr">
        <is>
          <t>Yes</t>
        </is>
      </c>
      <c r="F12" s="8" t="inlineStr">
        <is>
          <t>Ex-Anthropic / OpenAI engineer.</t>
        </is>
      </c>
    </row>
    <row r="13">
      <c r="A13" s="4" t="inlineStr">
        <is>
          <t>Reserve / buffer</t>
        </is>
      </c>
      <c r="B13" s="6" t="n">
        <v>150000</v>
      </c>
      <c r="C13" s="6">
        <f>SafeCap</f>
        <v/>
      </c>
      <c r="D13" s="7">
        <f>SafeDiscount</f>
        <v/>
      </c>
      <c r="E13" s="19" t="inlineStr">
        <is>
          <t>Yes</t>
        </is>
      </c>
      <c r="F13" s="8" t="inlineStr">
        <is>
          <t>Final pieces of the round, post-Demo Day.</t>
        </is>
      </c>
    </row>
    <row r="14">
      <c r="A14" s="20" t="inlineStr">
        <is>
          <t>TOTAL</t>
        </is>
      </c>
      <c r="B14" s="21">
        <f>SUM(B5:B13)</f>
        <v/>
      </c>
      <c r="C14" s="22" t="n"/>
      <c r="D14" s="22" t="n"/>
      <c r="E14" s="22" t="n"/>
      <c r="F14" s="22" t="n"/>
    </row>
    <row r="16">
      <c r="A16" s="14" t="inlineStr">
        <is>
          <t>Realistic close path: lead + Founders Inc + 4 angels + reserve = $1.20M.</t>
        </is>
      </c>
    </row>
  </sheetData>
  <mergeCells count="2">
    <mergeCell ref="A2:F2"/>
    <mergeCell ref="A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38" customWidth="1" min="5" max="5"/>
  </cols>
  <sheetData>
    <row r="1">
      <c r="A1" s="15" t="inlineStr">
        <is>
          <t>Pro Forma: SAFEs convert at a $4M seed round at $20M pre</t>
        </is>
      </c>
    </row>
    <row r="2">
      <c r="A2" s="2" t="inlineStr">
        <is>
          <t>Edit Assumptions!B8 and B9 to model different seed-round scenarios. All conversion math below recomputes from those two inputs.</t>
        </is>
      </c>
    </row>
    <row r="4">
      <c r="A4" s="3" t="inlineStr">
        <is>
          <t>Step</t>
        </is>
      </c>
      <c r="B4" s="3" t="inlineStr">
        <is>
          <t>Value</t>
        </is>
      </c>
      <c r="C4" s="3" t="inlineStr">
        <is>
          <t>Shares (approx.)</t>
        </is>
      </c>
      <c r="D4" s="3" t="inlineStr">
        <is>
          <t>% post-seed</t>
        </is>
      </c>
      <c r="E4" s="3" t="inlineStr">
        <is>
          <t>Notes</t>
        </is>
      </c>
    </row>
    <row r="5">
      <c r="A5" s="4" t="inlineStr">
        <is>
          <t>Seed round size</t>
        </is>
      </c>
      <c r="B5" s="6">
        <f>SeedRoundSize</f>
        <v/>
      </c>
      <c r="C5" s="16" t="n"/>
      <c r="D5" s="16" t="n"/>
      <c r="E5" s="8" t="inlineStr">
        <is>
          <t>Money the seed lead invests.</t>
        </is>
      </c>
    </row>
    <row r="6">
      <c r="A6" s="4" t="inlineStr">
        <is>
          <t>Seed pre-money</t>
        </is>
      </c>
      <c r="B6" s="6">
        <f>SeedPreMoney</f>
        <v/>
      </c>
      <c r="C6" s="16" t="n"/>
      <c r="D6" s="16" t="n"/>
      <c r="E6" s="8" t="inlineStr">
        <is>
          <t>Pre-money negotiated with seed lead.</t>
        </is>
      </c>
    </row>
    <row r="7">
      <c r="A7" s="4" t="inlineStr">
        <is>
          <t>Seed post-money</t>
        </is>
      </c>
      <c r="B7" s="6">
        <f>SeedPreMoney+SeedRoundSize</f>
        <v/>
      </c>
      <c r="C7" s="16" t="n"/>
      <c r="D7" s="16" t="n"/>
      <c r="E7" s="8" t="inlineStr">
        <is>
          <t>Pre + seed dollars.</t>
        </is>
      </c>
    </row>
    <row r="8">
      <c r="A8" s="4" t="inlineStr">
        <is>
          <t>Effective conversion price (SAFE -&gt; common)</t>
        </is>
      </c>
      <c r="B8" s="23">
        <f>MIN(SafeCap, SeedPreMoney*(1-SafeDiscount))/AuthShares</f>
        <v/>
      </c>
      <c r="C8" s="16" t="n"/>
      <c r="D8" s="16" t="n"/>
      <c r="E8" s="8" t="inlineStr">
        <is>
          <t>Lower of SAFE cap or discounted pre-money.</t>
        </is>
      </c>
    </row>
    <row r="9">
      <c r="A9" s="4" t="inlineStr">
        <is>
          <t>Shares issued for SAFEs</t>
        </is>
      </c>
      <c r="B9" s="16" t="n"/>
      <c r="C9" s="5">
        <f>RaiseTotal/B8</f>
        <v/>
      </c>
      <c r="D9" s="7">
        <f>C9/B19</f>
        <v/>
      </c>
      <c r="E9" s="8" t="inlineStr">
        <is>
          <t>SAFE dollars / conversion price.</t>
        </is>
      </c>
    </row>
    <row r="10">
      <c r="A10" s="4" t="inlineStr">
        <is>
          <t>Shares issued for seed lead</t>
        </is>
      </c>
      <c r="B10" s="16" t="n"/>
      <c r="C10" s="5">
        <f>SeedRoundSize/(SeedPreMoney/AuthShares)</f>
        <v/>
      </c>
      <c r="D10" s="7">
        <f>C10/B19</f>
        <v/>
      </c>
      <c r="E10" s="8" t="inlineStr">
        <is>
          <t>Seed dollars at the seed pre-money price.</t>
        </is>
      </c>
    </row>
    <row r="11">
      <c r="A11" s="4" t="inlineStr">
        <is>
          <t>Founder ownership post-seed</t>
        </is>
      </c>
      <c r="B11" s="16" t="n"/>
      <c r="C11" s="5">
        <f>FounderGrant</f>
        <v/>
      </c>
      <c r="D11" s="7">
        <f>FounderGrant/B19</f>
        <v/>
      </c>
      <c r="E11" s="8" t="inlineStr">
        <is>
          <t>Sandra's grant, unchanged in absolute shares.</t>
        </is>
      </c>
    </row>
    <row r="12">
      <c r="A12" s="4" t="inlineStr">
        <is>
          <t>Existing option pool (pre-refresh)</t>
        </is>
      </c>
      <c r="B12" s="16" t="n"/>
      <c r="C12" s="5">
        <f>OptionPool</f>
        <v/>
      </c>
      <c r="D12" s="7">
        <f>C12/B19</f>
        <v/>
      </c>
      <c r="E12" s="8" t="inlineStr">
        <is>
          <t>Reserved at formation.</t>
        </is>
      </c>
    </row>
    <row r="13">
      <c r="A13" s="4" t="inlineStr">
        <is>
          <t>New option pool top-up at seed</t>
        </is>
      </c>
      <c r="B13" s="16" t="n"/>
      <c r="C13" s="5">
        <f>B19*SeedPoolRefresh</f>
        <v/>
      </c>
      <c r="D13" s="7">
        <f>C13/B19</f>
        <v/>
      </c>
      <c r="E13" s="8" t="inlineStr">
        <is>
          <t>Top-up sized off post-seed cap.</t>
        </is>
      </c>
    </row>
    <row r="14">
      <c r="A14" s="4" t="inlineStr">
        <is>
          <t>Total post-seed shares outstanding</t>
        </is>
      </c>
      <c r="B14" s="16" t="n"/>
      <c r="C14" s="5">
        <f>C9+C10+C11+C12+C13</f>
        <v/>
      </c>
      <c r="D14" s="7">
        <f>1</f>
        <v/>
      </c>
      <c r="E14" s="8" t="inlineStr">
        <is>
          <t>Sum of all share rows above.</t>
        </is>
      </c>
    </row>
    <row r="19">
      <c r="A19" s="20" t="inlineStr">
        <is>
          <t>Total post-seed shares outstanding</t>
        </is>
      </c>
      <c r="B19" s="24">
        <f>C9+C10+C11+C12+C13</f>
        <v/>
      </c>
    </row>
    <row r="21">
      <c r="A21" s="9" t="inlineStr">
        <is>
          <t>Final cap table (post-seed)</t>
        </is>
      </c>
    </row>
    <row r="22">
      <c r="A22" s="3" t="inlineStr">
        <is>
          <t>Holder</t>
        </is>
      </c>
      <c r="B22" s="3" t="inlineStr">
        <is>
          <t>Shares</t>
        </is>
      </c>
      <c r="C22" s="3" t="inlineStr">
        <is>
          <t>% post-seed</t>
        </is>
      </c>
      <c r="D22" s="3" t="inlineStr">
        <is>
          <t>Capital in</t>
        </is>
      </c>
    </row>
    <row r="23">
      <c r="A23" s="16" t="inlineStr">
        <is>
          <t>Sandra Jirongo (founder common)</t>
        </is>
      </c>
      <c r="B23" s="5">
        <f>FounderGrant</f>
        <v/>
      </c>
      <c r="C23" s="7">
        <f>B23/B19</f>
        <v/>
      </c>
      <c r="D23" s="6" t="n">
        <v>0</v>
      </c>
    </row>
    <row r="24">
      <c r="A24" s="16" t="inlineStr">
        <is>
          <t>SAFE investors (pre-seed)</t>
        </is>
      </c>
      <c r="B24" s="5">
        <f>C9</f>
        <v/>
      </c>
      <c r="C24" s="7">
        <f>B24/B19</f>
        <v/>
      </c>
      <c r="D24" s="6">
        <f>RaiseTotal</f>
        <v/>
      </c>
    </row>
    <row r="25">
      <c r="A25" s="16" t="inlineStr">
        <is>
          <t>Seed lead</t>
        </is>
      </c>
      <c r="B25" s="5">
        <f>C10</f>
        <v/>
      </c>
      <c r="C25" s="7">
        <f>B25/B19</f>
        <v/>
      </c>
      <c r="D25" s="6">
        <f>SeedRoundSize</f>
        <v/>
      </c>
    </row>
    <row r="26">
      <c r="A26" s="16" t="inlineStr">
        <is>
          <t>Existing option pool</t>
        </is>
      </c>
      <c r="B26" s="5">
        <f>OptionPool</f>
        <v/>
      </c>
      <c r="C26" s="7">
        <f>B26/B19</f>
        <v/>
      </c>
      <c r="D26" s="6" t="n">
        <v>0</v>
      </c>
    </row>
    <row r="27">
      <c r="A27" s="16" t="inlineStr">
        <is>
          <t>New option pool (seed top-up)</t>
        </is>
      </c>
      <c r="B27" s="5">
        <f>C13</f>
        <v/>
      </c>
      <c r="C27" s="7">
        <f>B27/B19</f>
        <v/>
      </c>
      <c r="D27" s="6" t="n">
        <v>0</v>
      </c>
    </row>
    <row r="28">
      <c r="A28" s="25" t="inlineStr">
        <is>
          <t>TOTAL</t>
        </is>
      </c>
      <c r="B28" s="26">
        <f>SUM(B23:B27)</f>
        <v/>
      </c>
      <c r="C28" s="27">
        <f>SUM(C23:C27)</f>
        <v/>
      </c>
      <c r="D28" s="28">
        <f>SUM(D23:D27)</f>
        <v/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Notes</t>
        </is>
      </c>
    </row>
    <row r="2">
      <c r="A2" s="10" t="inlineStr">
        <is>
          <t>Total authorized shares</t>
        </is>
      </c>
      <c r="B2" s="29" t="n">
        <v>10000000</v>
      </c>
      <c r="C2" s="14" t="inlineStr">
        <is>
          <t>Standard Delaware C-corp authorization at formation.</t>
        </is>
      </c>
    </row>
    <row r="3">
      <c r="A3" s="10" t="inlineStr">
        <is>
          <t>Founder grant (Sandra Jirongo)</t>
        </is>
      </c>
      <c r="B3" s="29" t="n">
        <v>8000000</v>
      </c>
      <c r="C3" s="14" t="inlineStr">
        <is>
          <t>80% of authorized at formation. 4-year vest, 1-year cliff, monthly thereafter.</t>
        </is>
      </c>
    </row>
    <row r="4">
      <c r="A4" s="10" t="inlineStr">
        <is>
          <t>Option pool reserved</t>
        </is>
      </c>
      <c r="B4" s="29" t="n">
        <v>2000000</v>
      </c>
      <c r="C4" s="14" t="inlineStr">
        <is>
          <t>20% of authorized. Pool sized for the next ~24 months of hiring.</t>
        </is>
      </c>
    </row>
    <row r="5">
      <c r="A5" s="10" t="inlineStr">
        <is>
          <t>Pre-seed raise target ($)</t>
        </is>
      </c>
      <c r="B5" s="11" t="n">
        <v>1250000</v>
      </c>
      <c r="C5" s="14" t="inlineStr">
        <is>
          <t>From fundraising-strategy.md. Funds 18-22 months.</t>
        </is>
      </c>
    </row>
    <row r="6">
      <c r="A6" s="10" t="inlineStr">
        <is>
          <t>SAFE post-money cap ($)</t>
        </is>
      </c>
      <c r="B6" s="11" t="n">
        <v>11250000</v>
      </c>
      <c r="C6" s="14" t="inlineStr">
        <is>
          <t>Default cap. Flex to $12-13M if Speedrun or YC accept.</t>
        </is>
      </c>
    </row>
    <row r="7">
      <c r="A7" s="10" t="inlineStr">
        <is>
          <t>SAFE discount</t>
        </is>
      </c>
      <c r="B7" s="12" t="n">
        <v>0.2</v>
      </c>
      <c r="C7" s="14" t="inlineStr">
        <is>
          <t>Used at next priced round if cap is above the round's pre-money.</t>
        </is>
      </c>
    </row>
    <row r="8">
      <c r="A8" s="10" t="inlineStr">
        <is>
          <t>Assumed seed round size ($)</t>
        </is>
      </c>
      <c r="B8" s="11" t="n">
        <v>4000000</v>
      </c>
      <c r="C8" s="14" t="inlineStr">
        <is>
          <t>Pro forma input. Mid-range 2026 healthcare AI seed round.</t>
        </is>
      </c>
    </row>
    <row r="9">
      <c r="A9" s="10" t="inlineStr">
        <is>
          <t>Assumed seed pre-money ($)</t>
        </is>
      </c>
      <c r="B9" s="11" t="n">
        <v>20000000</v>
      </c>
      <c r="C9" s="14" t="inlineStr">
        <is>
          <t>Pro forma input. Drives SAFE conversion price.</t>
        </is>
      </c>
    </row>
    <row r="10">
      <c r="A10" s="10" t="inlineStr">
        <is>
          <t>Assumed seed option pool refresh</t>
        </is>
      </c>
      <c r="B10" s="12" t="n">
        <v>0.1</v>
      </c>
      <c r="C10" s="14" t="inlineStr">
        <is>
          <t>Standard pre-money top-up at the seed round.</t>
        </is>
      </c>
    </row>
    <row r="12">
      <c r="A12" s="9" t="inlineStr">
        <is>
          <t>Named ranges</t>
        </is>
      </c>
    </row>
    <row r="13">
      <c r="A13" s="2" t="inlineStr">
        <is>
          <t>All formulas reference cells in this tab. Edit a value here and every other tab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2026-05-07T02:53:02Z</dcterms:created>
  <dcterms:modified xsi:type="dcterms:W3CDTF">2026-05-07T02:53:02Z</dcterms:modified>
</cp:coreProperties>
</file>